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bad\Desktop\"/>
    </mc:Choice>
  </mc:AlternateContent>
  <xr:revisionPtr revIDLastSave="0" documentId="13_ncr:1_{81EA79C8-93BB-4234-B3AF-4998D53B041C}" xr6:coauthVersionLast="36" xr6:coauthVersionMax="36" xr10:uidLastSave="{00000000-0000-0000-0000-000000000000}"/>
  <bookViews>
    <workbookView xWindow="0" yWindow="0" windowWidth="24720" windowHeight="12105" activeTab="2" xr2:uid="{E74C9BB9-1FDA-448D-80DC-047570A6116A}"/>
  </bookViews>
  <sheets>
    <sheet name="Bullwhip Simulator" sheetId="1" r:id="rId1"/>
    <sheet name="Make-or-Buy &amp; Lokalizacja" sheetId="2" r:id="rId2"/>
    <sheet name="Service Level &amp; JIT Decision" sheetId="3" r:id="rId3"/>
  </sheets>
  <definedNames>
    <definedName name="_xlcn.WorksheetConnection_MakeorBuyLokalizacjaB43C45" hidden="1">'Make-or-Buy &amp; Lokalizacja'!$B$43:$C$45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Zakres" name="Zakres" connection="WorksheetConnection_Make-or-Buy &amp; Lokalizacja!$B$43:$C$45"/>
        </x15:modelTables>
      </x15:dataModel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2" i="3"/>
  <c r="B47" i="2"/>
  <c r="B46" i="2"/>
  <c r="C3" i="2"/>
  <c r="C4" i="2"/>
  <c r="C5" i="2"/>
  <c r="C6" i="2"/>
  <c r="C7" i="2"/>
  <c r="C2" i="2"/>
  <c r="B3" i="2"/>
  <c r="B4" i="2"/>
  <c r="B5" i="2"/>
  <c r="B6" i="2"/>
  <c r="B7" i="2"/>
  <c r="B2" i="2"/>
  <c r="D3" i="1"/>
  <c r="D4" i="1"/>
  <c r="D5" i="1"/>
  <c r="D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8E9FFB-F9D1-4F02-83FB-62A73FDB7402}" keepAlive="1" name="ThisWorkbookDataModel" description="Model danych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E1ADE7C-17D7-4CDE-A346-B2A15E4C59A9}" name="WorksheetConnection_Make-or-Buy &amp; Lokalizacja!$B$43:$C$45" type="102" refreshedVersion="6" minRefreshableVersion="5">
    <extLst>
      <ext xmlns:x15="http://schemas.microsoft.com/office/spreadsheetml/2010/11/main" uri="{DE250136-89BD-433C-8126-D09CA5730AF9}">
        <x15:connection id="Zakres">
          <x15:rangePr sourceName="_xlcn.WorksheetConnection_MakeorBuyLokalizacjaB43C45"/>
        </x15:connection>
      </ext>
    </extLst>
  </connection>
</connections>
</file>

<file path=xl/sharedStrings.xml><?xml version="1.0" encoding="utf-8"?>
<sst xmlns="http://schemas.openxmlformats.org/spreadsheetml/2006/main" count="48" uniqueCount="38">
  <si>
    <t>Klient</t>
  </si>
  <si>
    <t>Sklep</t>
  </si>
  <si>
    <t>Dystrybutor</t>
  </si>
  <si>
    <t>Producent</t>
  </si>
  <si>
    <t>Ogniwa łańcucha</t>
  </si>
  <si>
    <t>Tydzień 1</t>
  </si>
  <si>
    <t>Tydzień 2</t>
  </si>
  <si>
    <t>Q</t>
  </si>
  <si>
    <t>C_make</t>
  </si>
  <si>
    <t>C_buy</t>
  </si>
  <si>
    <t>F</t>
  </si>
  <si>
    <t>v</t>
  </si>
  <si>
    <t>p</t>
  </si>
  <si>
    <t>LOKALIZACJA</t>
  </si>
  <si>
    <t>X</t>
  </si>
  <si>
    <t>Y</t>
  </si>
  <si>
    <t>A</t>
  </si>
  <si>
    <t>B</t>
  </si>
  <si>
    <t>C</t>
  </si>
  <si>
    <t>X optymalne</t>
  </si>
  <si>
    <t>Y optymalne</t>
  </si>
  <si>
    <t>Waga (W)</t>
  </si>
  <si>
    <t>Kategoria</t>
  </si>
  <si>
    <t>Service level</t>
  </si>
  <si>
    <t>z</t>
  </si>
  <si>
    <t>Produkt</t>
  </si>
  <si>
    <t>z(auto)</t>
  </si>
  <si>
    <t>P1</t>
  </si>
  <si>
    <t>P2</t>
  </si>
  <si>
    <t>P3</t>
  </si>
  <si>
    <t>P4</t>
  </si>
  <si>
    <t>P5</t>
  </si>
  <si>
    <t>%-owy wzrost wielkości zamówień</t>
  </si>
  <si>
    <t>Dla której kategorii produktów (A/B/C) warto rozważyć JIT?</t>
  </si>
  <si>
    <t>Kategoria A</t>
  </si>
  <si>
    <t>produkty tej kategori mają największe koszty utrzymania.</t>
  </si>
  <si>
    <t>Ponieważ:</t>
  </si>
  <si>
    <t>opłacalne jest JIT aby uniknąć strat związanych z dużymi kosztami magazynowania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</si>
</sst>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0\ &quot;zł&quot;"/>
  </numFmts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0" fontId="2" fillId="0" borderId="0" xfId="0" applyFont="1"/>
    <xf numFmtId="2" fontId="0" fillId="0" borderId="0" xfId="0" applyNumberFormat="1"/>
    <xf numFmtId="0" fontId="0" fillId="0" borderId="0" xfId="0" applyAlignment="1">
      <alignment horizontal="left" vertical="center"/>
    </xf>
    <xf numFmtId="0" fontId="1" fillId="0" borderId="0" xfId="0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</cellXfs>
  <cellStyles count="1">
    <cellStyle name="Normalny" xfId="0" builtinId="0"/>
  </cellStyles>
  <dxfs count="21">
    <dxf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bottom" textRotation="0" wrapText="0" indent="0" justifyLastLine="0" shrinkToFit="0" readingOrder="0"/>
    </dxf>
    <dxf>
      <numFmt numFmtId="165" formatCode="#,##0.00\ &quot;zł&quot;"/>
    </dxf>
    <dxf>
      <numFmt numFmtId="165" formatCode="#,##0.00\ &quot;zł&quot;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%-owy w</a:t>
            </a:r>
            <a:r>
              <a:rPr lang="en-US"/>
              <a:t>zrost wielkości zamówień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'Bullwhip Simulator'!$D$1</c:f>
              <c:strCache>
                <c:ptCount val="1"/>
                <c:pt idx="0">
                  <c:v>%-owy wzrost wielkości zamówień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'Bullwhip Simulator'!$A$2:$A$5</c:f>
              <c:strCache>
                <c:ptCount val="4"/>
                <c:pt idx="0">
                  <c:v>Klient</c:v>
                </c:pt>
                <c:pt idx="1">
                  <c:v>Sklep</c:v>
                </c:pt>
                <c:pt idx="2">
                  <c:v>Dystrybutor</c:v>
                </c:pt>
                <c:pt idx="3">
                  <c:v>Producent</c:v>
                </c:pt>
              </c:strCache>
            </c:strRef>
          </c:cat>
          <c:val>
            <c:numRef>
              <c:f>'Bullwhip Simulator'!$D$2:$D$5</c:f>
              <c:numCache>
                <c:formatCode>0.0%</c:formatCode>
                <c:ptCount val="4"/>
                <c:pt idx="0">
                  <c:v>0.1</c:v>
                </c:pt>
                <c:pt idx="1">
                  <c:v>0.25</c:v>
                </c:pt>
                <c:pt idx="2">
                  <c:v>0.5</c:v>
                </c:pt>
                <c:pt idx="3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73-4BFA-B40E-FD0E80763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7017360"/>
        <c:axId val="659934944"/>
      </c:barChart>
      <c:catAx>
        <c:axId val="50701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59934944"/>
        <c:crosses val="autoZero"/>
        <c:auto val="1"/>
        <c:lblAlgn val="ctr"/>
        <c:lblOffset val="100"/>
        <c:noMultiLvlLbl val="0"/>
      </c:catAx>
      <c:valAx>
        <c:axId val="65993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07017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'Make-or-Buy &amp; Lokalizacja'!$B$1</c:f>
              <c:strCache>
                <c:ptCount val="1"/>
                <c:pt idx="0">
                  <c:v>C_make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'Make-or-Buy &amp; Lokalizacja'!$B$2:$B$7</c:f>
              <c:numCache>
                <c:formatCode>#\ ##0.00\ "zł"</c:formatCode>
                <c:ptCount val="6"/>
                <c:pt idx="0">
                  <c:v>5000</c:v>
                </c:pt>
                <c:pt idx="1">
                  <c:v>28000</c:v>
                </c:pt>
                <c:pt idx="2">
                  <c:v>51000</c:v>
                </c:pt>
                <c:pt idx="3">
                  <c:v>74000</c:v>
                </c:pt>
                <c:pt idx="4">
                  <c:v>97000</c:v>
                </c:pt>
                <c:pt idx="5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6D-4C9F-A84D-43533EB4FCCC}"/>
            </c:ext>
          </c:extLst>
        </c:ser>
        <c:ser>
          <c:idx val="1"/>
          <c:order val="1"/>
          <c:tx>
            <c:strRef>
              <c:f>'Make-or-Buy &amp; Lokalizacja'!$C$1</c:f>
              <c:strCache>
                <c:ptCount val="1"/>
                <c:pt idx="0">
                  <c:v>C_buy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'Make-or-Buy &amp; Lokalizacja'!$C$2:$C$7</c:f>
              <c:numCache>
                <c:formatCode>#\ ##0.00\ "zł"</c:formatCode>
                <c:ptCount val="6"/>
                <c:pt idx="0">
                  <c:v>0</c:v>
                </c:pt>
                <c:pt idx="1">
                  <c:v>37000</c:v>
                </c:pt>
                <c:pt idx="2">
                  <c:v>74000</c:v>
                </c:pt>
                <c:pt idx="3">
                  <c:v>111000</c:v>
                </c:pt>
                <c:pt idx="4">
                  <c:v>148000</c:v>
                </c:pt>
                <c:pt idx="5">
                  <c:v>185000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6D-4C9F-A84D-43533EB4F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3848864"/>
        <c:axId val="655461840"/>
      </c:lineChart>
      <c:catAx>
        <c:axId val="6538488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55461840"/>
        <c:crosses val="autoZero"/>
        <c:auto val="1"/>
        <c:lblAlgn val="ctr"/>
        <c:lblOffset val="100"/>
        <c:noMultiLvlLbl val="0"/>
      </c:catAx>
      <c:valAx>
        <c:axId val="65546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\ &quot;zł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53848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Optymalna</a:t>
            </a:r>
            <a:r>
              <a:rPr lang="pl-PL" baseline="0"/>
              <a:t> lokalizacja magazynu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'Make-or-Buy &amp; Lokalizacja'!$B$43:$B$45</c:f>
              <c:numCache>
                <c:formatCode>General</c:formatCode>
                <c:ptCount val="3"/>
                <c:pt idx="0">
                  <c:v>20</c:v>
                </c:pt>
                <c:pt idx="1">
                  <c:v>10</c:v>
                </c:pt>
                <c:pt idx="2">
                  <c:v>40</c:v>
                </c:pt>
              </c:numCache>
            </c:numRef>
          </c:xVal>
          <c:yVal>
            <c:numRef>
              <c:f>'Make-or-Buy &amp; Lokalizacja'!$C$43:$C$45</c:f>
              <c:numCache>
                <c:formatCode>General</c:formatCode>
                <c:ptCount val="3"/>
                <c:pt idx="0">
                  <c:v>10</c:v>
                </c:pt>
                <c:pt idx="1">
                  <c:v>40</c:v>
                </c:pt>
                <c:pt idx="2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E0-4E65-B7C7-AB96B11D4B00}"/>
            </c:ext>
          </c:extLst>
        </c:ser>
        <c:ser>
          <c:idx val="1"/>
          <c:order val="1"/>
          <c:tx>
            <c:v>punkt optymalny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'Make-or-Buy &amp; Lokalizacja'!$B$46</c:f>
              <c:numCache>
                <c:formatCode>0.00</c:formatCode>
                <c:ptCount val="1"/>
                <c:pt idx="0">
                  <c:v>18.333333333333332</c:v>
                </c:pt>
              </c:numCache>
            </c:numRef>
          </c:xVal>
          <c:yVal>
            <c:numRef>
              <c:f>'Make-or-Buy &amp; Lokalizacja'!$B$47</c:f>
              <c:numCache>
                <c:formatCode>0.00</c:formatCode>
                <c:ptCount val="1"/>
                <c:pt idx="0">
                  <c:v>26.666666666666668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0E0-4E65-B7C7-AB96B11D4B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2521952"/>
        <c:axId val="1540504992"/>
      </c:scatterChart>
      <c:valAx>
        <c:axId val="652521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40504992"/>
        <c:crosses val="autoZero"/>
        <c:crossBetween val="midCat"/>
      </c:valAx>
      <c:valAx>
        <c:axId val="154050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52521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1085850</xdr:colOff>
      <xdr:row>8</xdr:row>
      <xdr:rowOff>23812</xdr:rowOff>
    </xdr:from>
    <xdr:to>
      <xdr:col>6</xdr:col>
      <xdr:colOff>228600</xdr:colOff>
      <xdr:row>22</xdr:row>
      <xdr:rowOff>100012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ACA9CFBC-3915-4D83-9045-0D404BAA12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6</xdr:row>
      <xdr:rowOff>66675</xdr:rowOff>
    </xdr:from>
    <xdr:to>
      <xdr:col>12</xdr:col>
      <xdr:colOff>114300</xdr:colOff>
      <xdr:row>28</xdr:row>
      <xdr:rowOff>133350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10522675-B266-4588-AC3F-C3A83679A0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219075</xdr:colOff>
      <xdr:row>39</xdr:row>
      <xdr:rowOff>185737</xdr:rowOff>
    </xdr:from>
    <xdr:to>
      <xdr:col>14</xdr:col>
      <xdr:colOff>523875</xdr:colOff>
      <xdr:row>54</xdr:row>
      <xdr:rowOff>71437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5C778D10-6162-4B56-BAC4-2D6497523D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7875A9A-2E60-4BE0-9CC4-AA1DB4EE8E6F}" name="Tabela5" displayName="Tabela5" ref="A1:D5" totalsRowShown="0" headerRowDxfId="20">
  <autoFilter ref="A1:D5" xr:uid="{6E614D60-2821-4800-8F00-FBFFDD12FAA8}"/>
  <tableColumns count="4">
    <tableColumn id="1" xr3:uid="{53FD5853-A326-477F-BA83-75AFC665A209}" name="Ogniwa łańcucha"/>
    <tableColumn id="2" xr3:uid="{1F59EF9F-6F38-4904-AD6F-CE2F5F7096EC}" name="Tydzień 1" dataDxfId="19"/>
    <tableColumn id="3" xr3:uid="{354B2149-2408-4903-9991-58231F2187AA}" name="Tydzień 2" dataDxfId="18"/>
    <tableColumn id="4" xr3:uid="{C7FD7C24-974E-4B61-B800-E75D930D2D10}" name="%-owy wzrost wielkości zamówień" dataDxfId="17">
      <calculatedColumnFormula>(C2-B2)/B2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273A07F-F709-4C4E-A7B5-6EB443EAE73D}" name="Tabela3" displayName="Tabela3" ref="A42:D45" totalsRowShown="0" headerRowDxfId="16" dataDxfId="15">
  <autoFilter ref="A42:D45" xr:uid="{CB3F1327-01D4-477E-8FE7-223A9EAE31A1}"/>
  <tableColumns count="4">
    <tableColumn id="1" xr3:uid="{5A6CD37D-6C79-45C2-B056-8782857D56F3}" name="Klient"/>
    <tableColumn id="2" xr3:uid="{201DFE78-535F-4665-8600-E004B90D6638}" name="X" dataDxfId="14"/>
    <tableColumn id="3" xr3:uid="{A335DC76-5CF9-4C3D-B51C-EEA4BC24E6AC}" name="Y" dataDxfId="13"/>
    <tableColumn id="4" xr3:uid="{937A14DF-92B4-424D-89E8-1F3BB8E4C96D}" name="Waga (W)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B837E72-6018-4EDC-ABD6-BF167E971C11}" name="Tabela4" displayName="Tabela4" ref="A1:C7" totalsRowShown="0" headerRowDxfId="11">
  <autoFilter ref="A1:C7" xr:uid="{FFA1EDAA-0403-40A1-8000-C435BB4B251E}"/>
  <tableColumns count="3">
    <tableColumn id="1" xr3:uid="{8FB0CDF1-001F-41D4-909F-1F5C1443F66F}" name="Q"/>
    <tableColumn id="2" xr3:uid="{B4353A9A-5573-4783-A120-BFC9D2C21AAE}" name="C_make" dataDxfId="10">
      <calculatedColumnFormula>$F$2+$F$3*A2</calculatedColumnFormula>
    </tableColumn>
    <tableColumn id="3" xr3:uid="{60A7C62F-F777-49AC-BD14-AAFD969FA793}" name="C_buy" dataDxfId="9">
      <calculatedColumnFormula>$F$4*A2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90D1AA-D42F-4168-9493-BEA4B1E8B4DD}" name="Tabela1" displayName="Tabela1" ref="A1:C6" totalsRowShown="0" headerRowDxfId="8" dataDxfId="7">
  <autoFilter ref="A1:C6" xr:uid="{FBD4002B-34B1-4AD2-8038-1A3040086CA2}"/>
  <tableColumns count="3">
    <tableColumn id="1" xr3:uid="{4F179865-08E8-462D-A5C1-261C186DED9C}" name="Produkt" dataDxfId="6"/>
    <tableColumn id="2" xr3:uid="{E69C49E1-06C1-4EDE-B855-936819B04937}" name="Kategoria" dataDxfId="5"/>
    <tableColumn id="3" xr3:uid="{422B9741-4BBB-45A3-B0F4-43AB9D22B4B8}" name="z(auto)" dataDxfId="4">
      <calculatedColumnFormula>VLOOKUP(B2,$J$5:$L$7,3,FALSE)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338129-2439-443B-B4C1-12C1B8C21B9E}" name="Tabela2" displayName="Tabela2" ref="J4:L7" totalsRowShown="0" headerRowDxfId="3">
  <autoFilter ref="J4:L7" xr:uid="{1E6EA973-6819-4143-B2C2-96F9766301F8}"/>
  <tableColumns count="3">
    <tableColumn id="1" xr3:uid="{1C7B750B-0E9D-4435-AD3C-DC8BF0B8BFB4}" name="Kategoria" dataDxfId="2"/>
    <tableColumn id="2" xr3:uid="{E6B6111C-682A-4BB1-B789-A11CFF969005}" name="Service level" dataDxfId="1"/>
    <tableColumn id="3" xr3:uid="{52906502-A610-4BD4-BCF2-300778D68EAB}" name="z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F8F82-6CF8-4650-8EE1-6D4994C80EC2}">
  <dimension ref="A1:D5"/>
  <sheetViews>
    <sheetView workbookViewId="0">
      <selection activeCell="H32" sqref="H32"/>
    </sheetView>
  </sheetViews>
  <sheetFormatPr defaultRowHeight="15" x14ac:dyDescent="0.25"/>
  <cols>
    <col min="1" max="1" width="18" customWidth="1"/>
    <col min="2" max="3" width="11.42578125" customWidth="1"/>
    <col min="4" max="4" width="38.140625" customWidth="1"/>
  </cols>
  <sheetData>
    <row r="1" spans="1:4" x14ac:dyDescent="0.25">
      <c r="A1" s="2" t="s">
        <v>4</v>
      </c>
      <c r="B1" s="2" t="s">
        <v>5</v>
      </c>
      <c r="C1" s="2" t="s">
        <v>6</v>
      </c>
      <c r="D1" s="2" t="s">
        <v>32</v>
      </c>
    </row>
    <row r="2" spans="1:4" x14ac:dyDescent="0.25">
      <c r="A2" t="s">
        <v>0</v>
      </c>
      <c r="B2" s="3">
        <v>100</v>
      </c>
      <c r="C2" s="3">
        <v>110</v>
      </c>
      <c r="D2" s="4">
        <f>(C2-B2)/B2</f>
        <v>0.1</v>
      </c>
    </row>
    <row r="3" spans="1:4" x14ac:dyDescent="0.25">
      <c r="A3" t="s">
        <v>1</v>
      </c>
      <c r="B3" s="3">
        <v>100</v>
      </c>
      <c r="C3" s="3">
        <v>125</v>
      </c>
      <c r="D3" s="4">
        <f t="shared" ref="D3:D5" si="0">(C3-B3)/B3</f>
        <v>0.25</v>
      </c>
    </row>
    <row r="4" spans="1:4" x14ac:dyDescent="0.25">
      <c r="A4" t="s">
        <v>2</v>
      </c>
      <c r="B4" s="3">
        <v>100</v>
      </c>
      <c r="C4" s="3">
        <v>150</v>
      </c>
      <c r="D4" s="4">
        <f t="shared" si="0"/>
        <v>0.5</v>
      </c>
    </row>
    <row r="5" spans="1:4" x14ac:dyDescent="0.25">
      <c r="A5" t="s">
        <v>3</v>
      </c>
      <c r="B5" s="3">
        <v>100</v>
      </c>
      <c r="C5" s="3">
        <v>190</v>
      </c>
      <c r="D5" s="4">
        <f t="shared" si="0"/>
        <v>0.9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C17BB-F3DC-4DCD-8911-FE58BFEABE9B}">
  <dimension ref="A1:F47"/>
  <sheetViews>
    <sheetView workbookViewId="0">
      <selection activeCell="P23" sqref="P23"/>
    </sheetView>
  </sheetViews>
  <sheetFormatPr defaultRowHeight="15" x14ac:dyDescent="0.25"/>
  <cols>
    <col min="1" max="1" width="13" customWidth="1"/>
    <col min="2" max="2" width="13.85546875" customWidth="1"/>
    <col min="3" max="3" width="14.42578125" customWidth="1"/>
    <col min="4" max="4" width="12" customWidth="1"/>
    <col min="6" max="6" width="9.85546875" bestFit="1" customWidth="1"/>
  </cols>
  <sheetData>
    <row r="1" spans="1:6" x14ac:dyDescent="0.25">
      <c r="A1" s="2" t="s">
        <v>7</v>
      </c>
      <c r="B1" s="2" t="s">
        <v>8</v>
      </c>
      <c r="C1" s="2" t="s">
        <v>9</v>
      </c>
    </row>
    <row r="2" spans="1:6" x14ac:dyDescent="0.25">
      <c r="A2">
        <v>0</v>
      </c>
      <c r="B2" s="6">
        <f>$F$2+$F$3*A2</f>
        <v>5000</v>
      </c>
      <c r="C2" s="6">
        <f>$F$4*A2</f>
        <v>0</v>
      </c>
      <c r="E2" s="3" t="s">
        <v>10</v>
      </c>
      <c r="F2" s="5">
        <v>5000</v>
      </c>
    </row>
    <row r="3" spans="1:6" x14ac:dyDescent="0.25">
      <c r="A3">
        <v>1000</v>
      </c>
      <c r="B3" s="6">
        <f t="shared" ref="B3:B7" si="0">$F$2+$F$3*A3</f>
        <v>28000</v>
      </c>
      <c r="C3" s="6">
        <f t="shared" ref="C3:C7" si="1">$F$4*A3</f>
        <v>37000</v>
      </c>
      <c r="E3" s="3" t="s">
        <v>11</v>
      </c>
      <c r="F3" s="5">
        <v>23</v>
      </c>
    </row>
    <row r="4" spans="1:6" x14ac:dyDescent="0.25">
      <c r="A4">
        <v>2000</v>
      </c>
      <c r="B4" s="6">
        <f t="shared" si="0"/>
        <v>51000</v>
      </c>
      <c r="C4" s="6">
        <f t="shared" si="1"/>
        <v>74000</v>
      </c>
      <c r="E4" s="3" t="s">
        <v>12</v>
      </c>
      <c r="F4" s="5">
        <v>37</v>
      </c>
    </row>
    <row r="5" spans="1:6" x14ac:dyDescent="0.25">
      <c r="A5">
        <v>3000</v>
      </c>
      <c r="B5" s="6">
        <f t="shared" si="0"/>
        <v>74000</v>
      </c>
      <c r="C5" s="6">
        <f t="shared" si="1"/>
        <v>111000</v>
      </c>
    </row>
    <row r="6" spans="1:6" x14ac:dyDescent="0.25">
      <c r="A6">
        <v>4000</v>
      </c>
      <c r="B6" s="6">
        <f t="shared" si="0"/>
        <v>97000</v>
      </c>
      <c r="C6" s="6">
        <f t="shared" si="1"/>
        <v>148000</v>
      </c>
    </row>
    <row r="7" spans="1:6" x14ac:dyDescent="0.25">
      <c r="A7">
        <v>5000</v>
      </c>
      <c r="B7" s="6">
        <f t="shared" si="0"/>
        <v>120000</v>
      </c>
      <c r="C7" s="6">
        <f t="shared" si="1"/>
        <v>185000</v>
      </c>
    </row>
    <row r="35" spans="1:4" ht="15.75" x14ac:dyDescent="0.25">
      <c r="B35" s="7" t="s">
        <v>13</v>
      </c>
    </row>
    <row r="42" spans="1:4" x14ac:dyDescent="0.25">
      <c r="A42" s="2" t="s">
        <v>0</v>
      </c>
      <c r="B42" s="2" t="s">
        <v>14</v>
      </c>
      <c r="C42" s="2" t="s">
        <v>15</v>
      </c>
      <c r="D42" s="2" t="s">
        <v>21</v>
      </c>
    </row>
    <row r="43" spans="1:4" x14ac:dyDescent="0.25">
      <c r="A43" t="s">
        <v>16</v>
      </c>
      <c r="B43" s="3">
        <v>20</v>
      </c>
      <c r="C43" s="3">
        <v>10</v>
      </c>
      <c r="D43" s="3">
        <v>400</v>
      </c>
    </row>
    <row r="44" spans="1:4" x14ac:dyDescent="0.25">
      <c r="A44" t="s">
        <v>17</v>
      </c>
      <c r="B44" s="3">
        <v>10</v>
      </c>
      <c r="C44" s="3">
        <v>40</v>
      </c>
      <c r="D44" s="3">
        <v>600</v>
      </c>
    </row>
    <row r="45" spans="1:4" x14ac:dyDescent="0.25">
      <c r="A45" t="s">
        <v>18</v>
      </c>
      <c r="B45" s="3">
        <v>40</v>
      </c>
      <c r="C45" s="3">
        <v>20</v>
      </c>
      <c r="D45" s="3">
        <v>200</v>
      </c>
    </row>
    <row r="46" spans="1:4" x14ac:dyDescent="0.25">
      <c r="A46" s="1" t="s">
        <v>19</v>
      </c>
      <c r="B46" s="8">
        <f>SUMPRODUCT(B43:B45,D43:D45)/SUM(D43:D45)</f>
        <v>18.333333333333332</v>
      </c>
    </row>
    <row r="47" spans="1:4" x14ac:dyDescent="0.25">
      <c r="A47" s="1" t="s">
        <v>20</v>
      </c>
      <c r="B47" s="8">
        <f>SUMPRODUCT(C43:C45,D43:D45)/SUM(D43:D45)</f>
        <v>26.666666666666668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9112C-2535-40B4-B42B-4213347BBAB2}">
  <dimension ref="A1:L21"/>
  <sheetViews>
    <sheetView tabSelected="1" workbookViewId="0">
      <selection activeCell="I9" sqref="I9"/>
    </sheetView>
  </sheetViews>
  <sheetFormatPr defaultRowHeight="15" x14ac:dyDescent="0.25"/>
  <cols>
    <col min="1" max="1" width="15" customWidth="1"/>
    <col min="2" max="2" width="20.7109375" customWidth="1"/>
    <col min="3" max="3" width="18.5703125" customWidth="1"/>
    <col min="10" max="10" width="15.42578125" customWidth="1"/>
    <col min="11" max="11" width="17" customWidth="1"/>
  </cols>
  <sheetData>
    <row r="1" spans="1:12" x14ac:dyDescent="0.25">
      <c r="A1" s="2" t="s">
        <v>25</v>
      </c>
      <c r="B1" s="2" t="s">
        <v>22</v>
      </c>
      <c r="C1" s="2" t="s">
        <v>26</v>
      </c>
    </row>
    <row r="2" spans="1:12" x14ac:dyDescent="0.25">
      <c r="A2" s="3" t="s">
        <v>27</v>
      </c>
      <c r="B2" s="3" t="s">
        <v>16</v>
      </c>
      <c r="C2" s="3">
        <f>VLOOKUP(B2,$J$5:$L$7,3,FALSE)</f>
        <v>2.33</v>
      </c>
    </row>
    <row r="3" spans="1:12" x14ac:dyDescent="0.25">
      <c r="A3" s="3" t="s">
        <v>30</v>
      </c>
      <c r="B3" s="3" t="s">
        <v>16</v>
      </c>
      <c r="C3" s="3">
        <f t="shared" ref="C3:C6" si="0">VLOOKUP(B3,$J$5:$L$7,3,FALSE)</f>
        <v>2.33</v>
      </c>
    </row>
    <row r="4" spans="1:12" x14ac:dyDescent="0.25">
      <c r="A4" s="3" t="s">
        <v>31</v>
      </c>
      <c r="B4" s="3" t="s">
        <v>17</v>
      </c>
      <c r="C4" s="3">
        <f t="shared" si="0"/>
        <v>1.65</v>
      </c>
      <c r="J4" s="2" t="s">
        <v>22</v>
      </c>
      <c r="K4" s="2" t="s">
        <v>23</v>
      </c>
      <c r="L4" s="2" t="s">
        <v>24</v>
      </c>
    </row>
    <row r="5" spans="1:12" x14ac:dyDescent="0.25">
      <c r="A5" s="3" t="s">
        <v>28</v>
      </c>
      <c r="B5" s="3" t="s">
        <v>17</v>
      </c>
      <c r="C5" s="3">
        <f t="shared" si="0"/>
        <v>1.65</v>
      </c>
      <c r="J5" s="3" t="s">
        <v>16</v>
      </c>
      <c r="K5" s="4">
        <v>0.99</v>
      </c>
      <c r="L5" s="3">
        <v>2.33</v>
      </c>
    </row>
    <row r="6" spans="1:12" x14ac:dyDescent="0.25">
      <c r="A6" s="3" t="s">
        <v>29</v>
      </c>
      <c r="B6" s="3" t="s">
        <v>18</v>
      </c>
      <c r="C6" s="3">
        <f t="shared" si="0"/>
        <v>1.28</v>
      </c>
      <c r="J6" s="3" t="s">
        <v>17</v>
      </c>
      <c r="K6" s="4">
        <v>0.95</v>
      </c>
      <c r="L6" s="3">
        <v>1.65</v>
      </c>
    </row>
    <row r="7" spans="1:12" x14ac:dyDescent="0.25">
      <c r="J7" s="3" t="s">
        <v>18</v>
      </c>
      <c r="K7" s="4">
        <v>0.9</v>
      </c>
      <c r="L7" s="3">
        <v>1.28</v>
      </c>
    </row>
    <row r="18" spans="1:5" ht="10.5" customHeight="1" x14ac:dyDescent="0.25"/>
    <row r="19" spans="1:5" ht="32.25" customHeight="1" x14ac:dyDescent="0.25">
      <c r="A19" s="9" t="s">
        <v>33</v>
      </c>
      <c r="B19" s="3"/>
      <c r="C19" s="3"/>
      <c r="D19" s="3"/>
      <c r="E19" s="3"/>
    </row>
    <row r="20" spans="1:5" x14ac:dyDescent="0.25">
      <c r="A20" s="10" t="s">
        <v>34</v>
      </c>
    </row>
    <row r="21" spans="1:5" ht="75" x14ac:dyDescent="0.25">
      <c r="A21" s="12" t="s">
        <v>36</v>
      </c>
      <c r="B21" s="11" t="s">
        <v>35</v>
      </c>
      <c r="C21" s="11" t="s">
        <v>37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ACDFA0E4-9334-46A1-A76B-B49E22A5B80A}">
  <ds:schemaRefs>
    <ds:schemaRef ds:uri="http://www.w3.org/2001/XMLSchema"/>
    <ds:schemaRef ds:uri="http://microsoft.data.visualization.Client.Excel/1.0"/>
  </ds:schemaRefs>
</ds:datastoreItem>
</file>

<file path=customXml/itemProps2.xml><?xml version="1.0" encoding="utf-8"?>
<ds:datastoreItem xmlns:ds="http://schemas.openxmlformats.org/officeDocument/2006/customXml" ds:itemID="{D48A8FE2-E12F-4725-9D17-6FC9D03CC04E}">
  <ds:schemaRefs>
    <ds:schemaRef ds:uri="http://www.w3.org/2001/XMLSchema"/>
    <ds:schemaRef ds:uri="http://microsoft.data.visualization.engine.tours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Bullwhip Simulator</vt:lpstr>
      <vt:lpstr>Make-or-Buy &amp; Lokalizacja</vt:lpstr>
      <vt:lpstr>Service Level &amp; JIT Decision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Dzikowski</dc:creator>
  <cp:lastModifiedBy>Jakub Dzikowski</cp:lastModifiedBy>
  <dcterms:created xsi:type="dcterms:W3CDTF">2026-10-01T18:01:28Z</dcterms:created>
  <dcterms:modified xsi:type="dcterms:W3CDTF">2026-10-01T20:35:48Z</dcterms:modified>
</cp:coreProperties>
</file>